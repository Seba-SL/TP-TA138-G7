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<sst xmlns="http://schemas.openxmlformats.org/spreadsheetml/2006/main" count="80" uniqueCount="47">
  <si>
    <t xml:space="preserve">PCB (LDO)</t>
  </si>
  <si>
    <t xml:space="preserve">Gabinete</t>
  </si>
  <si>
    <t xml:space="preserve">Componente</t>
  </si>
  <si>
    <t xml:space="preserve">Detalle</t>
  </si>
  <si>
    <t xml:space="preserve">Cantidad</t>
  </si>
  <si>
    <t xml:space="preserve">Precio</t>
  </si>
  <si>
    <t xml:space="preserve">Datasheet</t>
  </si>
  <si>
    <t xml:space="preserve">Encapsulado</t>
  </si>
  <si>
    <t xml:space="preserve">Proveedor</t>
  </si>
  <si>
    <t xml:space="preserve"> Pines 2x1</t>
  </si>
  <si>
    <t xml:space="preserve">Vo</t>
  </si>
  <si>
    <t xml:space="preserve">V_Rs_test</t>
  </si>
  <si>
    <t xml:space="preserve">V_current_test</t>
  </si>
  <si>
    <t xml:space="preserve">V_voltage_test</t>
  </si>
  <si>
    <t xml:space="preserve">V_ref_test</t>
  </si>
  <si>
    <t xml:space="preserve">V_ref_c_test</t>
  </si>
  <si>
    <t xml:space="preserve">Transistor npn</t>
  </si>
  <si>
    <t xml:space="preserve">2N3904</t>
  </si>
  <si>
    <t xml:space="preserve">TO-92</t>
  </si>
  <si>
    <t xml:space="preserve">Transistor pnp</t>
  </si>
  <si>
    <t xml:space="preserve">2N3906</t>
  </si>
  <si>
    <t xml:space="preserve">Transistor PMOS</t>
  </si>
  <si>
    <t xml:space="preserve">IRF4905</t>
  </si>
  <si>
    <t xml:space="preserve">TO-220</t>
  </si>
  <si>
    <t xml:space="preserve">BC547</t>
  </si>
  <si>
    <t xml:space="preserve">BC557</t>
  </si>
  <si>
    <t xml:space="preserve">Resistor</t>
  </si>
  <si>
    <t xml:space="preserve">2.2k</t>
  </si>
  <si>
    <t xml:space="preserve">THT</t>
  </si>
  <si>
    <t xml:space="preserve">10k</t>
  </si>
  <si>
    <t xml:space="preserve">1k</t>
  </si>
  <si>
    <t xml:space="preserve">3k</t>
  </si>
  <si>
    <t xml:space="preserve">4.7k</t>
  </si>
  <si>
    <t xml:space="preserve">1.4k</t>
  </si>
  <si>
    <t xml:space="preserve">1.1k</t>
  </si>
  <si>
    <t xml:space="preserve">0.8k</t>
  </si>
  <si>
    <t xml:space="preserve">1.7k</t>
  </si>
  <si>
    <t xml:space="preserve">Alambre Resistor</t>
  </si>
  <si>
    <t xml:space="preserve">0.2</t>
  </si>
  <si>
    <t xml:space="preserve">Referencia Prog.</t>
  </si>
  <si>
    <t xml:space="preserve">TL431LP</t>
  </si>
  <si>
    <t xml:space="preserve">Amplificador Op.</t>
  </si>
  <si>
    <t xml:space="preserve">LM324</t>
  </si>
  <si>
    <t xml:space="preserve">PDIP-8</t>
  </si>
  <si>
    <t xml:space="preserve">Total PCB</t>
  </si>
  <si>
    <t xml:space="preserve">Total Gabinete</t>
  </si>
  <si>
    <t xml:space="preserve">Total 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</si>
</sst>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0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009E4F"/>
        <bgColor rgb="FF008080"/>
      </patternFill>
    </fill>
    <fill>
      <patternFill patternType="solid">
        <fgColor rgb="FF003B76"/>
        <bgColor rgb="FF333399"/>
      </patternFill>
    </fill>
    <fill>
      <patternFill patternType="solid">
        <fgColor rgb="FF9E4F00"/>
        <bgColor rgb="FF99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9E4F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B76"/>
      <rgbColor rgb="FF339966"/>
      <rgbColor rgb="FF003300"/>
      <rgbColor rgb="FF333300"/>
      <rgbColor rgb="FF9E4F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8"/>
  <sheetViews>
    <sheetView showFormulas="false" showGridLines="true" showRowColHeaders="true" showZeros="true" rightToLeft="false" tabSelected="true" showOutlineSymbols="true" defaultGridColor="true" view="normal" topLeftCell="A7" colorId="64" zoomScale="65" zoomScaleNormal="65" zoomScalePageLayoutView="100" workbookViewId="0">
      <selection pane="topLeft" activeCell="E26" activeCellId="0" sqref="E26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8.08"/>
    <col collapsed="false" customWidth="true" hidden="false" outlineLevel="0" max="2" min="2" style="1" width="15.6"/>
    <col collapsed="false" customWidth="true" hidden="false" outlineLevel="0" max="4" min="4" style="1" width="13.73"/>
    <col collapsed="false" customWidth="true" hidden="false" outlineLevel="0" max="5" min="5" style="1" width="14.37"/>
    <col collapsed="false" customWidth="true" hidden="false" outlineLevel="0" max="6" min="6" style="1" width="13.75"/>
    <col collapsed="false" customWidth="true" hidden="false" outlineLevel="0" max="7" min="7" style="1" width="13.47"/>
    <col collapsed="false" customWidth="true" hidden="false" outlineLevel="0" max="12" min="12" style="1" width="13.47"/>
  </cols>
  <sheetData>
    <row r="1" customFormat="false" ht="12.8" hidden="false" customHeight="false" outlineLevel="0" collapsed="false">
      <c r="A1" s="2" t="s">
        <v>0</v>
      </c>
      <c r="B1" s="3"/>
      <c r="C1" s="2"/>
      <c r="D1" s="2"/>
      <c r="E1" s="2"/>
      <c r="F1" s="2"/>
      <c r="G1" s="2"/>
      <c r="L1" s="4" t="s">
        <v>1</v>
      </c>
      <c r="M1" s="4"/>
      <c r="N1" s="4"/>
      <c r="O1" s="4"/>
      <c r="P1" s="4"/>
    </row>
    <row r="2" customFormat="false" ht="12.8" hidden="false" customHeight="false" outlineLevel="0" collapsed="false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L2" s="1" t="s">
        <v>2</v>
      </c>
      <c r="M2" s="1" t="s">
        <v>4</v>
      </c>
      <c r="N2" s="1" t="s">
        <v>5</v>
      </c>
      <c r="O2" s="1" t="s">
        <v>6</v>
      </c>
      <c r="P2" s="1" t="s">
        <v>8</v>
      </c>
    </row>
    <row r="3" customFormat="false" ht="12.8" hidden="false" customHeight="false" outlineLevel="0" collapsed="false">
      <c r="A3" s="1" t="s">
        <v>9</v>
      </c>
      <c r="B3" s="1" t="s">
        <v>10</v>
      </c>
      <c r="C3" s="1" t="n">
        <v>1</v>
      </c>
      <c r="D3" s="1" t="n">
        <v>0</v>
      </c>
      <c r="L3" s="5"/>
    </row>
    <row r="4" customFormat="false" ht="12.8" hidden="false" customHeight="false" outlineLevel="0" collapsed="false">
      <c r="A4" s="6" t="s">
        <v>9</v>
      </c>
      <c r="B4" s="1" t="s">
        <v>11</v>
      </c>
      <c r="C4" s="1" t="n">
        <v>1</v>
      </c>
      <c r="D4" s="1" t="n">
        <v>0</v>
      </c>
    </row>
    <row r="5" customFormat="false" ht="12.8" hidden="false" customHeight="false" outlineLevel="0" collapsed="false">
      <c r="A5" s="6" t="s">
        <v>9</v>
      </c>
      <c r="B5" s="1" t="s">
        <v>12</v>
      </c>
      <c r="C5" s="1" t="n">
        <v>1</v>
      </c>
      <c r="D5" s="1" t="n">
        <v>0</v>
      </c>
    </row>
    <row r="6" customFormat="false" ht="12.8" hidden="false" customHeight="false" outlineLevel="0" collapsed="false">
      <c r="A6" s="6" t="s">
        <v>9</v>
      </c>
      <c r="B6" s="1" t="s">
        <v>13</v>
      </c>
      <c r="C6" s="1" t="n">
        <v>1</v>
      </c>
      <c r="D6" s="1" t="n">
        <v>0</v>
      </c>
    </row>
    <row r="7" customFormat="false" ht="12.8" hidden="false" customHeight="false" outlineLevel="0" collapsed="false">
      <c r="A7" s="6" t="s">
        <v>9</v>
      </c>
      <c r="B7" s="1" t="s">
        <v>14</v>
      </c>
      <c r="C7" s="1" t="n">
        <v>1</v>
      </c>
      <c r="D7" s="1" t="n">
        <v>0</v>
      </c>
    </row>
    <row r="8" customFormat="false" ht="12.8" hidden="false" customHeight="false" outlineLevel="0" collapsed="false">
      <c r="A8" s="6" t="s">
        <v>9</v>
      </c>
      <c r="B8" s="1" t="s">
        <v>15</v>
      </c>
      <c r="C8" s="1" t="n">
        <v>1</v>
      </c>
      <c r="D8" s="1" t="n">
        <v>0</v>
      </c>
    </row>
    <row r="9" customFormat="false" ht="12.8" hidden="false" customHeight="false" outlineLevel="0" collapsed="false">
      <c r="A9" s="1" t="s">
        <v>16</v>
      </c>
      <c r="B9" s="1" t="s">
        <v>17</v>
      </c>
      <c r="C9" s="1" t="n">
        <v>9</v>
      </c>
      <c r="D9" s="1" t="n">
        <v>0</v>
      </c>
      <c r="E9" s="1" t="str">
        <f aca="false">HYPERLINK("Datasheets/2N3904.PDF","Ver datasheet")</f>
        <v>Ver datasheet</v>
      </c>
      <c r="F9" s="6" t="s">
        <v>18</v>
      </c>
    </row>
    <row r="10" customFormat="false" ht="12.8" hidden="false" customHeight="false" outlineLevel="0" collapsed="false">
      <c r="A10" s="6" t="s">
        <v>19</v>
      </c>
      <c r="B10" s="1" t="s">
        <v>20</v>
      </c>
      <c r="C10" s="1" t="n">
        <v>5</v>
      </c>
      <c r="D10" s="1" t="n">
        <v>0</v>
      </c>
      <c r="E10" s="6" t="str">
        <f aca="false">HYPERLINK("Datasheets/2N3906.PDF","Ver datasheet")</f>
        <v>Ver datasheet</v>
      </c>
      <c r="F10" s="6" t="s">
        <v>18</v>
      </c>
    </row>
    <row r="11" customFormat="false" ht="12.8" hidden="false" customHeight="false" outlineLevel="0" collapsed="false">
      <c r="A11" s="1" t="s">
        <v>21</v>
      </c>
      <c r="B11" s="1" t="s">
        <v>22</v>
      </c>
      <c r="C11" s="1" t="n">
        <v>1</v>
      </c>
      <c r="D11" s="1" t="n">
        <v>0</v>
      </c>
      <c r="E11" s="1" t="str">
        <f aca="false">HYPERLINK("Datasheets/IRF4905.pdf","Ver datasheet")</f>
        <v>Ver datasheet</v>
      </c>
      <c r="F11" s="6" t="s">
        <v>23</v>
      </c>
    </row>
    <row r="12" customFormat="false" ht="12.8" hidden="false" customHeight="false" outlineLevel="0" collapsed="false">
      <c r="A12" s="1" t="s">
        <v>16</v>
      </c>
      <c r="B12" s="1" t="s">
        <v>24</v>
      </c>
      <c r="C12" s="1" t="n">
        <v>2</v>
      </c>
      <c r="D12" s="1" t="n">
        <v>0</v>
      </c>
      <c r="E12" s="5"/>
      <c r="F12" s="6" t="s">
        <v>18</v>
      </c>
    </row>
    <row r="13" customFormat="false" ht="12.8" hidden="false" customHeight="false" outlineLevel="0" collapsed="false">
      <c r="A13" s="1" t="s">
        <v>19</v>
      </c>
      <c r="B13" s="1" t="s">
        <v>25</v>
      </c>
      <c r="C13" s="1" t="n">
        <v>2</v>
      </c>
      <c r="D13" s="1" t="n">
        <v>0</v>
      </c>
      <c r="F13" s="6" t="s">
        <v>18</v>
      </c>
    </row>
    <row r="14" customFormat="false" ht="12.8" hidden="false" customHeight="false" outlineLevel="0" collapsed="false">
      <c r="A14" s="1" t="s">
        <v>26</v>
      </c>
      <c r="B14" s="1" t="s">
        <v>27</v>
      </c>
      <c r="C14" s="1" t="n">
        <v>3</v>
      </c>
      <c r="D14" s="1" t="n">
        <v>0</v>
      </c>
      <c r="F14" s="7" t="s">
        <v>28</v>
      </c>
    </row>
    <row r="15" customFormat="false" ht="12.8" hidden="false" customHeight="false" outlineLevel="0" collapsed="false">
      <c r="A15" s="6" t="s">
        <v>26</v>
      </c>
      <c r="B15" s="1" t="s">
        <v>29</v>
      </c>
      <c r="C15" s="1" t="n">
        <v>6</v>
      </c>
      <c r="D15" s="1" t="n">
        <v>0</v>
      </c>
      <c r="F15" s="7" t="s">
        <v>28</v>
      </c>
    </row>
    <row r="16" customFormat="false" ht="12.8" hidden="false" customHeight="false" outlineLevel="0" collapsed="false">
      <c r="A16" s="6" t="s">
        <v>26</v>
      </c>
      <c r="B16" s="1" t="s">
        <v>30</v>
      </c>
      <c r="C16" s="1" t="n">
        <v>9</v>
      </c>
      <c r="D16" s="1" t="n">
        <v>0</v>
      </c>
      <c r="F16" s="7" t="s">
        <v>28</v>
      </c>
    </row>
    <row r="17" customFormat="false" ht="12.8" hidden="false" customHeight="false" outlineLevel="0" collapsed="false">
      <c r="A17" s="6" t="s">
        <v>26</v>
      </c>
      <c r="B17" s="1" t="s">
        <v>31</v>
      </c>
      <c r="C17" s="1" t="n">
        <v>1</v>
      </c>
      <c r="D17" s="1" t="n">
        <v>0</v>
      </c>
      <c r="F17" s="7" t="s">
        <v>28</v>
      </c>
    </row>
    <row r="18" customFormat="false" ht="12.8" hidden="false" customHeight="false" outlineLevel="0" collapsed="false">
      <c r="A18" s="6" t="s">
        <v>26</v>
      </c>
      <c r="B18" s="1" t="s">
        <v>32</v>
      </c>
      <c r="C18" s="1" t="n">
        <v>2</v>
      </c>
      <c r="D18" s="1" t="n">
        <v>0</v>
      </c>
      <c r="F18" s="7" t="s">
        <v>28</v>
      </c>
    </row>
    <row r="19" customFormat="false" ht="12.8" hidden="false" customHeight="false" outlineLevel="0" collapsed="false">
      <c r="A19" s="6" t="s">
        <v>26</v>
      </c>
      <c r="B19" s="1" t="s">
        <v>33</v>
      </c>
      <c r="C19" s="1" t="n">
        <v>1</v>
      </c>
      <c r="D19" s="1" t="n">
        <v>0</v>
      </c>
      <c r="E19" s="5"/>
      <c r="F19" s="7" t="s">
        <v>28</v>
      </c>
    </row>
    <row r="20" customFormat="false" ht="12.8" hidden="false" customHeight="false" outlineLevel="0" collapsed="false">
      <c r="A20" s="6" t="s">
        <v>26</v>
      </c>
      <c r="B20" s="1" t="s">
        <v>34</v>
      </c>
      <c r="C20" s="1" t="n">
        <v>1</v>
      </c>
      <c r="D20" s="1" t="n">
        <v>0</v>
      </c>
      <c r="F20" s="7" t="s">
        <v>28</v>
      </c>
    </row>
    <row r="21" customFormat="false" ht="12.8" hidden="false" customHeight="false" outlineLevel="0" collapsed="false">
      <c r="A21" s="6" t="s">
        <v>26</v>
      </c>
      <c r="B21" s="1" t="s">
        <v>35</v>
      </c>
      <c r="C21" s="1" t="n">
        <v>1</v>
      </c>
      <c r="D21" s="1" t="n">
        <v>0</v>
      </c>
      <c r="F21" s="7" t="s">
        <v>28</v>
      </c>
    </row>
    <row r="22" customFormat="false" ht="12.8" hidden="false" customHeight="false" outlineLevel="0" collapsed="false">
      <c r="A22" s="6" t="s">
        <v>26</v>
      </c>
      <c r="B22" s="1" t="s">
        <v>36</v>
      </c>
      <c r="C22" s="1" t="n">
        <v>1</v>
      </c>
      <c r="D22" s="1" t="n">
        <v>0</v>
      </c>
      <c r="F22" s="7" t="s">
        <v>28</v>
      </c>
      <c r="I22" s="8"/>
    </row>
    <row r="23" customFormat="false" ht="12.8" hidden="false" customHeight="false" outlineLevel="0" collapsed="false">
      <c r="A23" s="6" t="s">
        <v>37</v>
      </c>
      <c r="B23" s="1" t="s">
        <v>38</v>
      </c>
      <c r="C23" s="1" t="n">
        <v>1</v>
      </c>
      <c r="D23" s="1" t="n">
        <v>0</v>
      </c>
      <c r="F23" s="7" t="s">
        <v>28</v>
      </c>
    </row>
    <row r="24" customFormat="false" ht="12.8" hidden="false" customHeight="false" outlineLevel="0" collapsed="false">
      <c r="A24" s="1" t="s">
        <v>39</v>
      </c>
      <c r="B24" s="1" t="s">
        <v>40</v>
      </c>
      <c r="C24" s="1" t="n">
        <v>1</v>
      </c>
      <c r="D24" s="1" t="n">
        <v>0</v>
      </c>
      <c r="E24" s="1" t="str">
        <f aca="false">HYPERLINK("Datasheets/TL431.PDF","Ver datasheet")</f>
        <v>Ver datasheet</v>
      </c>
      <c r="F24" s="6" t="s">
        <v>18</v>
      </c>
    </row>
    <row r="25" customFormat="false" ht="12.8" hidden="false" customHeight="false" outlineLevel="0" collapsed="false">
      <c r="A25" s="1" t="s">
        <v>41</v>
      </c>
      <c r="B25" s="1" t="s">
        <v>42</v>
      </c>
      <c r="C25" s="1" t="n">
        <v>2</v>
      </c>
      <c r="D25" s="1" t="n">
        <v>0</v>
      </c>
      <c r="E25" s="5" t="str">
        <f aca="false">HYPERLINK("Datasheets/LM324.PDF","Ver datasheet")</f>
        <v>Ver datasheet</v>
      </c>
      <c r="F25" s="1" t="s">
        <v>43</v>
      </c>
    </row>
    <row r="26" customFormat="false" ht="12.8" hidden="false" customHeight="false" outlineLevel="0" collapsed="false">
      <c r="C26" s="1" t="n">
        <v>0</v>
      </c>
      <c r="D26" s="1" t="n">
        <v>0</v>
      </c>
      <c r="E26" s="5"/>
    </row>
    <row r="27" customFormat="false" ht="12.8" hidden="false" customHeight="false" outlineLevel="0" collapsed="false">
      <c r="C27" s="1" t="n">
        <v>0</v>
      </c>
      <c r="D27" s="1" t="n">
        <v>0</v>
      </c>
    </row>
    <row r="28" customFormat="false" ht="12.8" hidden="false" customHeight="false" outlineLevel="0" collapsed="false">
      <c r="C28" s="1" t="n">
        <v>0</v>
      </c>
      <c r="D28" s="1" t="n">
        <v>0</v>
      </c>
    </row>
    <row r="29" customFormat="false" ht="12.8" hidden="false" customHeight="false" outlineLevel="0" collapsed="false">
      <c r="C29" s="1" t="n">
        <v>0</v>
      </c>
      <c r="D29" s="1" t="n">
        <v>0</v>
      </c>
    </row>
    <row r="30" customFormat="false" ht="12.8" hidden="false" customHeight="false" outlineLevel="0" collapsed="false">
      <c r="C30" s="1" t="n">
        <v>0</v>
      </c>
      <c r="D30" s="1" t="n">
        <v>0</v>
      </c>
    </row>
    <row r="31" customFormat="false" ht="12.8" hidden="false" customHeight="false" outlineLevel="0" collapsed="false">
      <c r="C31" s="1" t="n">
        <v>0</v>
      </c>
      <c r="D31" s="1" t="n">
        <v>0</v>
      </c>
    </row>
    <row r="32" customFormat="false" ht="12.8" hidden="false" customHeight="false" outlineLevel="0" collapsed="false">
      <c r="C32" s="1" t="n">
        <v>0</v>
      </c>
      <c r="D32" s="1" t="n">
        <v>0</v>
      </c>
    </row>
    <row r="33" customFormat="false" ht="12.8" hidden="false" customHeight="false" outlineLevel="0" collapsed="false">
      <c r="C33" s="1" t="n">
        <v>0</v>
      </c>
      <c r="D33" s="1" t="n">
        <v>0</v>
      </c>
    </row>
    <row r="34" customFormat="false" ht="12.8" hidden="false" customHeight="false" outlineLevel="0" collapsed="false">
      <c r="A34" s="2"/>
      <c r="B34" s="2"/>
      <c r="C34" s="2"/>
      <c r="D34" s="2"/>
      <c r="E34" s="2"/>
      <c r="L34" s="4"/>
      <c r="M34" s="4"/>
      <c r="N34" s="4"/>
      <c r="O34" s="4"/>
      <c r="P34" s="4"/>
    </row>
    <row r="35" customFormat="false" ht="12.8" hidden="false" customHeight="false" outlineLevel="0" collapsed="false">
      <c r="A35" s="1" t="s">
        <v>44</v>
      </c>
      <c r="B35" s="1" t="n">
        <f aca="false">SUM( PRODUCT(C3,D3),PRODUCT(C4,D4),PRODUCT(C5,D5),PRODUCT(C6,D6), PRODUCT(C7,D7),PRODUCT(C8,D8),PRODUCT(C9,D9),PRODUCT(C10,D10), PRODUCT(C11,D11),PRODUCT(C12,D12),PRODUCT(C13,D13),PRODUCT(C14,D14), PRODUCT(C15,D15),PRODUCT(C16,D16),PRODUCT(C17,D17),PRODUCT(C18,D18), PRODUCT(C19,D19),PRODUCT(C20,D20),PRODUCT(C21,D21),PRODUCT(C22,D22), PRODUCT(C23,D23),PRODUCT(C24,D24),PRODUCT(C25,D25),PRODUCT(C26,D26), PRODUCT(C27,D27),PRODUCT(C28,D28),PRODUCT(C29,D29),PRODUCT(C30,D30), PRODUCT(C31,D31),PRODUCT(C32,D32),PRODUCT(C33,D33) )</f>
        <v>0</v>
      </c>
      <c r="L35" s="1" t="s">
        <v>45</v>
      </c>
      <c r="M35" s="1" t="n">
        <f aca="false">SUM(N3:N12)</f>
        <v>0</v>
      </c>
    </row>
    <row r="36" customFormat="false" ht="12.8" hidden="false" customHeight="false" outlineLevel="0" collapsed="false">
      <c r="A36" s="9"/>
      <c r="B36" s="9"/>
      <c r="C36" s="9"/>
      <c r="D36" s="9"/>
      <c r="E36" s="9"/>
      <c r="F36" s="9"/>
      <c r="L36" s="9"/>
      <c r="M36" s="9"/>
      <c r="N36" s="9"/>
      <c r="O36" s="9"/>
      <c r="P36" s="9"/>
    </row>
    <row r="37" customFormat="false" ht="12.8" hidden="false" customHeight="false" outlineLevel="0" collapsed="false">
      <c r="A37" s="1" t="s">
        <v>46</v>
      </c>
      <c r="B37" s="1" t="n">
        <f aca="false">SUM(B35,M35)</f>
        <v>0</v>
      </c>
    </row>
    <row r="38" customFormat="false" ht="12.8" hidden="false" customHeight="false" outlineLevel="0" collapsed="false">
      <c r="B38" s="5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2026-03-15T00:14:28Z</dcterms:created>
  <dc:creator/>
  <dc:description/>
  <dc:language>es-AR</dc:language>
  <cp:lastModifiedBy/>
  <dcterms:modified xsi:type="dcterms:W3CDTF">2026-04-19T10:34:26Z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